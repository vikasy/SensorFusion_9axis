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2"/>
  <workbookPr/>
  <mc:AlternateContent xmlns:mc="http://schemas.openxmlformats.org/markup-compatibility/2006">
    <mc:Choice Requires="x15">
      <x15ac:absPath xmlns:x15ac="http://schemas.microsoft.com/office/spreadsheetml/2010/11/ac" url="/private/var/mobile/Containers/Shared/AppGroup/400AA9CA-D0FD-4B0C-BAB1-3206ED97C554/File Provider Storage/item|3|E7B6D09005C9564B%21164474/"/>
    </mc:Choice>
  </mc:AlternateContent>
  <xr:revisionPtr revIDLastSave="0" documentId="11_D2920AA69812309834180B4FFC597666428871BF" xr6:coauthVersionLast="41" xr6:coauthVersionMax="41" xr10:uidLastSave="{00000000-0000-0000-0000-000000000000}"/>
  <bookViews>
    <workbookView xWindow="0" yWindow="0" windowWidth="11250" windowHeight="8070" xr2:uid="{00000000-000D-0000-FFFF-FFFF00000000}"/>
  </bookViews>
  <sheets>
    <sheet name="CW - ALL" sheetId="1" r:id="rId1"/>
    <sheet name="KDS - ALL" sheetId="2" r:id="rId2"/>
    <sheet name="KL25Z Single Build Siz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9" i="1" l="1"/>
  <c r="B31" i="1"/>
  <c r="P25" i="1"/>
  <c r="B44" i="2"/>
  <c r="B45" i="2"/>
  <c r="B47" i="2"/>
  <c r="Q26" i="1"/>
  <c r="B36" i="2"/>
  <c r="B37" i="2"/>
  <c r="B39" i="2"/>
  <c r="Q25" i="1"/>
  <c r="B28" i="2"/>
  <c r="B29" i="2"/>
  <c r="B31" i="2"/>
  <c r="Q24" i="1"/>
  <c r="B20" i="2"/>
  <c r="B21" i="2"/>
  <c r="B23" i="2"/>
  <c r="Q23" i="1"/>
  <c r="B13" i="2"/>
  <c r="B15" i="2"/>
  <c r="Q22" i="1"/>
  <c r="B4" i="2"/>
  <c r="B5" i="2"/>
  <c r="B7" i="2"/>
  <c r="Q21" i="1"/>
  <c r="B37" i="1"/>
  <c r="B39" i="1"/>
  <c r="P26" i="1"/>
  <c r="B21" i="1"/>
  <c r="B23" i="1"/>
  <c r="P24" i="1"/>
  <c r="B13" i="1"/>
  <c r="B15" i="1"/>
  <c r="P23" i="1"/>
  <c r="B5" i="1"/>
  <c r="B7" i="1"/>
  <c r="P21" i="1"/>
  <c r="N13" i="2"/>
  <c r="O13" i="2"/>
  <c r="N14" i="2"/>
  <c r="O14" i="2"/>
  <c r="N15" i="2"/>
  <c r="O15" i="2"/>
  <c r="N16" i="2"/>
  <c r="O16" i="2"/>
  <c r="N17" i="2"/>
  <c r="O17" i="2"/>
  <c r="G11" i="3"/>
  <c r="F11" i="3"/>
  <c r="G10" i="3"/>
  <c r="F10" i="3"/>
  <c r="G9" i="3"/>
  <c r="F9" i="3"/>
  <c r="G8" i="3"/>
  <c r="F8" i="3"/>
  <c r="G7" i="3"/>
  <c r="F7" i="3"/>
  <c r="G6" i="3"/>
  <c r="F6" i="3"/>
  <c r="E29" i="1"/>
  <c r="E31" i="1"/>
  <c r="L23" i="1"/>
  <c r="M23" i="1"/>
  <c r="C29" i="1"/>
  <c r="C31" i="1"/>
  <c r="L25" i="1"/>
  <c r="M25" i="1"/>
  <c r="G29" i="1"/>
  <c r="G31" i="1"/>
  <c r="L21" i="1"/>
  <c r="M21" i="1"/>
  <c r="F29" i="1"/>
  <c r="F31" i="1"/>
  <c r="L22" i="1"/>
  <c r="M22" i="1"/>
  <c r="D29" i="1"/>
  <c r="D31" i="1"/>
  <c r="L24" i="1"/>
  <c r="M24" i="1"/>
  <c r="L26" i="1"/>
  <c r="M26" i="1"/>
  <c r="M27" i="1"/>
  <c r="K26" i="1"/>
  <c r="K25" i="1"/>
  <c r="K24" i="1"/>
  <c r="K23" i="1"/>
  <c r="K22" i="1"/>
  <c r="K21" i="1"/>
  <c r="P9" i="2"/>
  <c r="O9" i="2"/>
  <c r="N9" i="2"/>
  <c r="M9" i="2"/>
  <c r="L9" i="2"/>
  <c r="K9" i="2"/>
  <c r="O18" i="2"/>
  <c r="N18" i="2"/>
  <c r="E13" i="2"/>
  <c r="E15" i="2"/>
  <c r="D13" i="2"/>
  <c r="D15" i="2"/>
  <c r="G13" i="2"/>
  <c r="G15" i="2"/>
  <c r="F13" i="2"/>
  <c r="F15" i="2"/>
  <c r="C13" i="2"/>
  <c r="C15" i="2"/>
  <c r="G20" i="2"/>
  <c r="P16" i="1"/>
  <c r="O16" i="1"/>
  <c r="P15" i="1"/>
  <c r="O15" i="1"/>
  <c r="P14" i="1"/>
  <c r="O14" i="1"/>
  <c r="P13" i="1"/>
  <c r="O13" i="1"/>
  <c r="P12" i="1"/>
  <c r="O12" i="1"/>
  <c r="F28" i="2"/>
  <c r="F29" i="2"/>
  <c r="F31" i="2"/>
  <c r="G44" i="2"/>
  <c r="G45" i="2"/>
  <c r="G47" i="2"/>
  <c r="F44" i="2"/>
  <c r="F45" i="2"/>
  <c r="F47" i="2"/>
  <c r="E44" i="2"/>
  <c r="D44" i="2"/>
  <c r="D45" i="2"/>
  <c r="D47" i="2"/>
  <c r="C44" i="2"/>
  <c r="C45" i="2"/>
  <c r="C47" i="2"/>
  <c r="G36" i="2"/>
  <c r="G37" i="2"/>
  <c r="G39" i="2"/>
  <c r="F36" i="2"/>
  <c r="F37" i="2"/>
  <c r="F39" i="2"/>
  <c r="E36" i="2"/>
  <c r="E37" i="2"/>
  <c r="E39" i="2"/>
  <c r="D36" i="2"/>
  <c r="D37" i="2"/>
  <c r="D39" i="2"/>
  <c r="C36" i="2"/>
  <c r="C37" i="2"/>
  <c r="C39" i="2"/>
  <c r="G28" i="2"/>
  <c r="G29" i="2"/>
  <c r="G31" i="2"/>
  <c r="E28" i="2"/>
  <c r="E29" i="2"/>
  <c r="E31" i="2"/>
  <c r="D28" i="2"/>
  <c r="D29" i="2"/>
  <c r="D31" i="2"/>
  <c r="C28" i="2"/>
  <c r="C29" i="2"/>
  <c r="C31" i="2"/>
  <c r="F20" i="2"/>
  <c r="F21" i="2"/>
  <c r="F23" i="2"/>
  <c r="E20" i="2"/>
  <c r="E21" i="2"/>
  <c r="E23" i="2"/>
  <c r="D20" i="2"/>
  <c r="D21" i="2"/>
  <c r="D23" i="2"/>
  <c r="C20" i="2"/>
  <c r="C21" i="2"/>
  <c r="C23" i="2"/>
  <c r="F4" i="2"/>
  <c r="F5" i="2"/>
  <c r="F7" i="2"/>
  <c r="E4" i="2"/>
  <c r="E5" i="2"/>
  <c r="E7" i="2"/>
  <c r="D4" i="2"/>
  <c r="C4" i="2"/>
  <c r="C5" i="2"/>
  <c r="C7" i="2"/>
  <c r="G4" i="2"/>
  <c r="G5" i="2"/>
  <c r="G7" i="2"/>
  <c r="E45" i="2"/>
  <c r="E47" i="2"/>
  <c r="H43" i="2"/>
  <c r="H35" i="2"/>
  <c r="P8" i="2"/>
  <c r="O8" i="2"/>
  <c r="N8" i="2"/>
  <c r="M8" i="2"/>
  <c r="L8" i="2"/>
  <c r="K8" i="2"/>
  <c r="P7" i="2"/>
  <c r="O7" i="2"/>
  <c r="N7" i="2"/>
  <c r="M7" i="2"/>
  <c r="L7" i="2"/>
  <c r="K7" i="2"/>
  <c r="P6" i="2"/>
  <c r="O6" i="2"/>
  <c r="N6" i="2"/>
  <c r="M6" i="2"/>
  <c r="L6" i="2"/>
  <c r="K6" i="2"/>
  <c r="H27" i="2"/>
  <c r="P5" i="2"/>
  <c r="O5" i="2"/>
  <c r="N5" i="2"/>
  <c r="M5" i="2"/>
  <c r="L5" i="2"/>
  <c r="K5" i="2"/>
  <c r="P4" i="2"/>
  <c r="O4" i="2"/>
  <c r="N4" i="2"/>
  <c r="M4" i="2"/>
  <c r="L4" i="2"/>
  <c r="K4" i="2"/>
  <c r="P3" i="2"/>
  <c r="O3" i="2"/>
  <c r="N3" i="2"/>
  <c r="M3" i="2"/>
  <c r="L3" i="2"/>
  <c r="K3" i="2"/>
  <c r="G21" i="2"/>
  <c r="G23" i="2"/>
  <c r="H19" i="2"/>
  <c r="D5" i="2"/>
  <c r="D7" i="2"/>
  <c r="H3" i="2"/>
  <c r="Q3" i="1"/>
  <c r="P3" i="1"/>
  <c r="O3" i="1"/>
  <c r="N3" i="1"/>
  <c r="M3" i="1"/>
  <c r="L3" i="1"/>
  <c r="Q4" i="1"/>
  <c r="P4" i="1"/>
  <c r="O4" i="1"/>
  <c r="N4" i="1"/>
  <c r="M4" i="1"/>
  <c r="L4" i="1"/>
  <c r="Q5" i="1"/>
  <c r="P5" i="1"/>
  <c r="O5" i="1"/>
  <c r="N5" i="1"/>
  <c r="M5" i="1"/>
  <c r="L5" i="1"/>
  <c r="Q6" i="1"/>
  <c r="P6" i="1"/>
  <c r="O6" i="1"/>
  <c r="N6" i="1"/>
  <c r="M6" i="1"/>
  <c r="L6" i="1"/>
  <c r="Q7" i="1"/>
  <c r="P7" i="1"/>
  <c r="O7" i="1"/>
  <c r="N7" i="1"/>
  <c r="M7" i="1"/>
  <c r="L7" i="1"/>
  <c r="Q8" i="1"/>
  <c r="P8" i="1"/>
  <c r="O8" i="1"/>
  <c r="N8" i="1"/>
  <c r="M8" i="1"/>
  <c r="L8" i="1"/>
  <c r="G37" i="1"/>
  <c r="G39" i="1"/>
  <c r="F37" i="1"/>
  <c r="F39" i="1"/>
  <c r="E37" i="1"/>
  <c r="E39" i="1"/>
  <c r="D37" i="1"/>
  <c r="D39" i="1"/>
  <c r="C37" i="1"/>
  <c r="C39" i="1"/>
  <c r="H39" i="1"/>
  <c r="H36" i="1"/>
  <c r="I36" i="1"/>
  <c r="H35" i="1"/>
  <c r="H28" i="1"/>
  <c r="I28" i="1"/>
  <c r="H27" i="1"/>
  <c r="G21" i="1"/>
  <c r="G23" i="1"/>
  <c r="F21" i="1"/>
  <c r="F23" i="1"/>
  <c r="E21" i="1"/>
  <c r="E23" i="1"/>
  <c r="D21" i="1"/>
  <c r="D23" i="1"/>
  <c r="C21" i="1"/>
  <c r="C23" i="1"/>
  <c r="H20" i="1"/>
  <c r="I20" i="1"/>
  <c r="H19" i="1"/>
  <c r="H3" i="1"/>
  <c r="H4" i="1"/>
  <c r="I4" i="1"/>
  <c r="H12" i="1"/>
  <c r="I12" i="1"/>
  <c r="H11" i="1"/>
  <c r="G13" i="1"/>
  <c r="G15" i="1"/>
  <c r="F13" i="1"/>
  <c r="F15" i="1"/>
  <c r="E13" i="1"/>
  <c r="E15" i="1"/>
  <c r="D13" i="1"/>
  <c r="D15" i="1"/>
  <c r="C13" i="1"/>
  <c r="C15" i="1"/>
  <c r="G5" i="1"/>
  <c r="G7" i="1"/>
  <c r="F5" i="1"/>
  <c r="F7" i="1"/>
  <c r="E5" i="1"/>
  <c r="E7" i="1"/>
  <c r="D5" i="1"/>
  <c r="D7" i="1"/>
  <c r="C5" i="1"/>
  <c r="C7" i="1"/>
  <c r="M28" i="1"/>
  <c r="L27" i="1"/>
  <c r="L28" i="1"/>
  <c r="H15" i="2"/>
  <c r="H47" i="2"/>
</calcChain>
</file>

<file path=xl/sharedStrings.xml><?xml version="1.0" encoding="utf-8"?>
<sst xmlns="http://schemas.openxmlformats.org/spreadsheetml/2006/main" count="197" uniqueCount="50">
  <si>
    <t>% Fusion</t>
  </si>
  <si>
    <t>9-axis</t>
  </si>
  <si>
    <t>Accel/Gyro</t>
  </si>
  <si>
    <t>Accel/Mag</t>
  </si>
  <si>
    <t>Gyro Only</t>
  </si>
  <si>
    <t>2D Mag</t>
  </si>
  <si>
    <t>Accel (Tilt)</t>
  </si>
  <si>
    <t>K64F with MULT2-B, all algorithms CW Build</t>
  </si>
  <si>
    <t>K20D50M with MULT2-B, all algorithms CW Build</t>
  </si>
  <si>
    <t>Fusion IDD (mA)</t>
  </si>
  <si>
    <t>Total IDD (mA)</t>
  </si>
  <si>
    <t>Total K Systicks</t>
  </si>
  <si>
    <t>Fusion K Systicks</t>
  </si>
  <si>
    <t>KL46Z with MULT2-B, all algorithms CW Build</t>
  </si>
  <si>
    <t>KL26Z with MULT2-B, all algorithms CW Build</t>
  </si>
  <si>
    <t>KL25Z with MULT2-B, all algorithms CW Build</t>
  </si>
  <si>
    <t>K64F</t>
  </si>
  <si>
    <t>K20D50M</t>
  </si>
  <si>
    <t>KL46Z</t>
  </si>
  <si>
    <t>KL26Z</t>
  </si>
  <si>
    <t>KL25Z</t>
  </si>
  <si>
    <t>K20D50M with MULT2-B, all algorithms KDS Build</t>
  </si>
  <si>
    <t>KL46Z with MULT2-B, all algorithms KDS Build</t>
  </si>
  <si>
    <t>KL26Z with MULT2-B, all algorithms KDS Build</t>
  </si>
  <si>
    <t>KL25Z with MULT2-B, all algorithms KDS Build</t>
  </si>
  <si>
    <t>K64F with MULT2-B, all algorithms KDS Build</t>
  </si>
  <si>
    <t>Text</t>
  </si>
  <si>
    <t>Data</t>
  </si>
  <si>
    <t>BSS</t>
  </si>
  <si>
    <t>Flash</t>
  </si>
  <si>
    <t>RAM</t>
  </si>
  <si>
    <t>K22F with MULT2-B, all algorithms KDS Build</t>
  </si>
  <si>
    <t>K22F</t>
  </si>
  <si>
    <t>Memory sizes for CodeWarrior Builds</t>
  </si>
  <si>
    <t>Memory sizes for KDS builds</t>
  </si>
  <si>
    <t>On this page, total systicks are measured.  On KDS page I just used the theoretical</t>
  </si>
  <si>
    <t>Table 9: KL26Z Currents</t>
  </si>
  <si>
    <t>Function</t>
  </si>
  <si>
    <t>FusionIdd@25Hz rate</t>
  </si>
  <si>
    <t>Fusion Idd/Hz</t>
  </si>
  <si>
    <t>subtotal</t>
  </si>
  <si>
    <t>estimated RTOS/other</t>
  </si>
  <si>
    <t>Memory sizes for KL25Z Single Algorithm CodeWarrior Builds</t>
  </si>
  <si>
    <t>Table 14 for KDS (Fusion K SysTicks)</t>
  </si>
  <si>
    <t>Table 14 for CodeWarrior (Fusion K SysTicks)</t>
  </si>
  <si>
    <t>9-Axis Currents</t>
  </si>
  <si>
    <t>KL25</t>
  </si>
  <si>
    <t>CW</t>
  </si>
  <si>
    <t>KDW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</si>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</sst>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workbookViewId="0" xr3:uid="{AEA406A1-0E4B-5B11-9CD5-51D6E497D94C}">
      <selection activeCell="I35" sqref="I35"/>
    </sheetView>
  </sheetViews>
  <sheetFormatPr defaultRowHeight="21.75" x14ac:dyDescent="0.5"/>
  <cols>
    <col min="1" max="1" width="26.171875" customWidth="1"/>
    <col min="3" max="5" width="11.9609375" bestFit="1" customWidth="1"/>
    <col min="7" max="7" width="11.9609375" bestFit="1" customWidth="1"/>
    <col min="9" max="9" width="5.80078125" customWidth="1"/>
    <col min="10" max="10" width="3.66796875" customWidth="1"/>
    <col min="11" max="11" width="18.7109375" customWidth="1"/>
    <col min="12" max="12" width="15.39453125" customWidth="1"/>
    <col min="13" max="13" width="13.26171875" bestFit="1" customWidth="1"/>
    <col min="14" max="14" width="9.7109375" bestFit="1" customWidth="1"/>
    <col min="15" max="15" width="14.56640625" bestFit="1" customWidth="1"/>
    <col min="16" max="16" width="10.65625" bestFit="1" customWidth="1"/>
    <col min="17" max="17" width="6.15625" bestFit="1" customWidth="1"/>
  </cols>
  <sheetData>
    <row r="1" spans="1:17" x14ac:dyDescent="0.5">
      <c r="A1" t="s">
        <v>7</v>
      </c>
    </row>
    <row r="2" spans="1:17" x14ac:dyDescent="0.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K2" t="s">
        <v>44</v>
      </c>
    </row>
    <row r="3" spans="1:17" x14ac:dyDescent="0.5">
      <c r="A3" t="s">
        <v>12</v>
      </c>
      <c r="B3">
        <v>50.5</v>
      </c>
      <c r="C3">
        <v>10.6</v>
      </c>
      <c r="D3">
        <v>3.6</v>
      </c>
      <c r="E3">
        <v>4.5</v>
      </c>
      <c r="F3">
        <v>2.86</v>
      </c>
      <c r="G3">
        <v>3.1</v>
      </c>
      <c r="H3">
        <f>SUM(B3:G3)</f>
        <v>75.16</v>
      </c>
      <c r="K3" s="1"/>
      <c r="L3" s="1" t="str">
        <f>G2</f>
        <v>Accel (Tilt)</v>
      </c>
      <c r="M3" s="1" t="str">
        <f>F2</f>
        <v>2D Mag</v>
      </c>
      <c r="N3" s="1" t="str">
        <f>E2</f>
        <v>Gyro Only</v>
      </c>
      <c r="O3" s="1" t="str">
        <f>D2</f>
        <v>Accel/Mag</v>
      </c>
      <c r="P3" s="1" t="str">
        <f>C2</f>
        <v>Accel/Gyro</v>
      </c>
      <c r="Q3" s="1" t="str">
        <f>B2</f>
        <v>9-axis</v>
      </c>
    </row>
    <row r="4" spans="1:17" x14ac:dyDescent="0.5">
      <c r="A4" t="s">
        <v>11</v>
      </c>
      <c r="B4">
        <v>4794</v>
      </c>
      <c r="C4">
        <v>4794</v>
      </c>
      <c r="D4">
        <v>4794</v>
      </c>
      <c r="E4">
        <v>4794</v>
      </c>
      <c r="F4">
        <v>4793</v>
      </c>
      <c r="G4">
        <v>4794</v>
      </c>
      <c r="H4">
        <f>AVERAGE(B4:G4)</f>
        <v>4793.833333333333</v>
      </c>
      <c r="I4">
        <f>H4*25*1000</f>
        <v>119845833.33333333</v>
      </c>
      <c r="K4" s="1" t="s">
        <v>20</v>
      </c>
      <c r="L4" s="1">
        <f>G35</f>
        <v>58</v>
      </c>
      <c r="M4" s="1">
        <f>F35</f>
        <v>46</v>
      </c>
      <c r="N4" s="1">
        <f>E35</f>
        <v>172</v>
      </c>
      <c r="O4" s="1">
        <f>D35</f>
        <v>72</v>
      </c>
      <c r="P4" s="1">
        <f>C35</f>
        <v>208</v>
      </c>
      <c r="Q4" s="1">
        <f>B35</f>
        <v>740</v>
      </c>
    </row>
    <row r="5" spans="1:17" x14ac:dyDescent="0.5">
      <c r="A5" t="s">
        <v>0</v>
      </c>
      <c r="B5">
        <f>B3/B4</f>
        <v>1.0534000834376304E-2</v>
      </c>
      <c r="C5">
        <f t="shared" ref="C5:G5" si="0">C3/C4</f>
        <v>2.2110972048393824E-3</v>
      </c>
      <c r="D5">
        <f t="shared" si="0"/>
        <v>7.5093867334167716E-4</v>
      </c>
      <c r="E5">
        <f t="shared" si="0"/>
        <v>9.3867334167709634E-4</v>
      </c>
      <c r="F5">
        <f t="shared" si="0"/>
        <v>5.9670352597538073E-4</v>
      </c>
      <c r="G5">
        <f t="shared" si="0"/>
        <v>6.4664163537755525E-4</v>
      </c>
      <c r="K5" s="1" t="s">
        <v>19</v>
      </c>
      <c r="L5" s="1">
        <f>G27</f>
        <v>58</v>
      </c>
      <c r="M5" s="1">
        <f>F27</f>
        <v>45</v>
      </c>
      <c r="N5" s="1">
        <f>E27</f>
        <v>171</v>
      </c>
      <c r="O5" s="1">
        <f>D27</f>
        <v>71</v>
      </c>
      <c r="P5" s="1">
        <f>C27</f>
        <v>210</v>
      </c>
      <c r="Q5" s="1">
        <f>B27</f>
        <v>740</v>
      </c>
    </row>
    <row r="6" spans="1:17" x14ac:dyDescent="0.5">
      <c r="A6" t="s">
        <v>10</v>
      </c>
      <c r="B6">
        <v>38</v>
      </c>
      <c r="C6">
        <v>38</v>
      </c>
      <c r="D6">
        <v>37.9</v>
      </c>
      <c r="E6">
        <v>37.9</v>
      </c>
      <c r="F6">
        <v>38.6</v>
      </c>
      <c r="G6">
        <v>38.5</v>
      </c>
      <c r="K6" s="1" t="s">
        <v>18</v>
      </c>
      <c r="L6" s="1">
        <f>G19</f>
        <v>59</v>
      </c>
      <c r="M6" s="1">
        <f>F19</f>
        <v>45</v>
      </c>
      <c r="N6" s="1">
        <f>E19</f>
        <v>171</v>
      </c>
      <c r="O6" s="1">
        <f>D19</f>
        <v>72</v>
      </c>
      <c r="P6" s="1">
        <f>C19</f>
        <v>207</v>
      </c>
      <c r="Q6" s="1">
        <f>B19</f>
        <v>740</v>
      </c>
    </row>
    <row r="7" spans="1:17" x14ac:dyDescent="0.5">
      <c r="A7" t="s">
        <v>9</v>
      </c>
      <c r="B7">
        <f>B5*B6</f>
        <v>0.40029203170629957</v>
      </c>
      <c r="C7">
        <f t="shared" ref="C7:G7" si="1">C5*C6</f>
        <v>8.4021693783896526E-2</v>
      </c>
      <c r="D7">
        <f t="shared" si="1"/>
        <v>2.8460575719649564E-2</v>
      </c>
      <c r="E7">
        <f t="shared" si="1"/>
        <v>3.5575719649561952E-2</v>
      </c>
      <c r="F7">
        <f t="shared" si="1"/>
        <v>2.3032756102649696E-2</v>
      </c>
      <c r="G7">
        <f t="shared" si="1"/>
        <v>2.4895702962035877E-2</v>
      </c>
      <c r="K7" s="1" t="s">
        <v>17</v>
      </c>
      <c r="L7" s="1">
        <f>G11</f>
        <v>34</v>
      </c>
      <c r="M7" s="1">
        <f>F11</f>
        <v>26</v>
      </c>
      <c r="N7" s="1">
        <f>E11</f>
        <v>63</v>
      </c>
      <c r="O7" s="1">
        <f>D11</f>
        <v>42</v>
      </c>
      <c r="P7" s="1">
        <f>C11</f>
        <v>157</v>
      </c>
      <c r="Q7" s="5">
        <f>B11</f>
        <v>509</v>
      </c>
    </row>
    <row r="8" spans="1:17" x14ac:dyDescent="0.5">
      <c r="K8" s="1" t="s">
        <v>16</v>
      </c>
      <c r="L8" s="1">
        <f>G3</f>
        <v>3.1</v>
      </c>
      <c r="M8" s="1">
        <f>F3</f>
        <v>2.86</v>
      </c>
      <c r="N8" s="1">
        <f>E3</f>
        <v>4.5</v>
      </c>
      <c r="O8" s="1">
        <f>D3</f>
        <v>3.6</v>
      </c>
      <c r="P8" s="1">
        <f>C3</f>
        <v>10.6</v>
      </c>
      <c r="Q8" s="1">
        <f>B3</f>
        <v>50.5</v>
      </c>
    </row>
    <row r="9" spans="1:17" x14ac:dyDescent="0.5">
      <c r="A9" t="s">
        <v>8</v>
      </c>
    </row>
    <row r="10" spans="1:17" x14ac:dyDescent="0.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K10" s="2" t="s">
        <v>33</v>
      </c>
    </row>
    <row r="11" spans="1:17" x14ac:dyDescent="0.5">
      <c r="A11" t="s">
        <v>12</v>
      </c>
      <c r="B11" s="7">
        <v>509</v>
      </c>
      <c r="C11">
        <v>157</v>
      </c>
      <c r="D11">
        <v>42</v>
      </c>
      <c r="E11">
        <v>63</v>
      </c>
      <c r="F11">
        <v>26</v>
      </c>
      <c r="G11">
        <v>34</v>
      </c>
      <c r="H11">
        <f>SUM(B11:G11)</f>
        <v>831</v>
      </c>
      <c r="K11" s="1"/>
      <c r="L11" s="1" t="s">
        <v>26</v>
      </c>
      <c r="M11" s="1" t="s">
        <v>27</v>
      </c>
      <c r="N11" s="1" t="s">
        <v>28</v>
      </c>
      <c r="O11" s="1" t="s">
        <v>29</v>
      </c>
      <c r="P11" s="1" t="s">
        <v>30</v>
      </c>
    </row>
    <row r="12" spans="1:17" x14ac:dyDescent="0.5">
      <c r="A12" t="s">
        <v>11</v>
      </c>
      <c r="B12" s="7">
        <v>1920</v>
      </c>
      <c r="C12">
        <v>1920</v>
      </c>
      <c r="D12">
        <v>1920</v>
      </c>
      <c r="E12">
        <v>1920</v>
      </c>
      <c r="F12">
        <v>1920</v>
      </c>
      <c r="G12">
        <v>1920</v>
      </c>
      <c r="H12">
        <f>AVERAGE(B12:G12)</f>
        <v>1920</v>
      </c>
      <c r="I12">
        <f>H12*25*1000</f>
        <v>48000000</v>
      </c>
      <c r="K12" s="1" t="s">
        <v>20</v>
      </c>
      <c r="L12" s="1">
        <v>96028</v>
      </c>
      <c r="M12" s="1">
        <v>72</v>
      </c>
      <c r="N12" s="1">
        <v>14776</v>
      </c>
      <c r="O12" s="1">
        <f>L12+M12</f>
        <v>96100</v>
      </c>
      <c r="P12" s="1">
        <f>M12+N12</f>
        <v>14848</v>
      </c>
    </row>
    <row r="13" spans="1:17" x14ac:dyDescent="0.5">
      <c r="A13" t="s">
        <v>0</v>
      </c>
      <c r="B13" s="7">
        <f>B11/B12</f>
        <v>0.26510416666666664</v>
      </c>
      <c r="C13">
        <f t="shared" ref="C13" si="2">C11/C12</f>
        <v>8.1770833333333334E-2</v>
      </c>
      <c r="D13">
        <f t="shared" ref="D13" si="3">D11/D12</f>
        <v>2.1874999999999999E-2</v>
      </c>
      <c r="E13">
        <f t="shared" ref="E13" si="4">E11/E12</f>
        <v>3.2812500000000001E-2</v>
      </c>
      <c r="F13">
        <f t="shared" ref="F13" si="5">F11/F12</f>
        <v>1.3541666666666667E-2</v>
      </c>
      <c r="G13">
        <f t="shared" ref="G13" si="6">G11/G12</f>
        <v>1.7708333333333333E-2</v>
      </c>
      <c r="K13" s="1" t="s">
        <v>19</v>
      </c>
      <c r="L13" s="1">
        <v>96020</v>
      </c>
      <c r="M13" s="1">
        <v>72</v>
      </c>
      <c r="N13" s="1">
        <v>14780</v>
      </c>
      <c r="O13" s="1">
        <f t="shared" ref="O13:P16" si="7">L13+M13</f>
        <v>96092</v>
      </c>
      <c r="P13" s="1">
        <f t="shared" si="7"/>
        <v>14852</v>
      </c>
    </row>
    <row r="14" spans="1:17" x14ac:dyDescent="0.5">
      <c r="A14" t="s">
        <v>10</v>
      </c>
      <c r="B14" s="7">
        <v>13.3</v>
      </c>
      <c r="C14">
        <v>13.3</v>
      </c>
      <c r="D14">
        <v>13.3</v>
      </c>
      <c r="E14">
        <v>13.2</v>
      </c>
      <c r="F14">
        <v>13.2</v>
      </c>
      <c r="G14">
        <v>13.2</v>
      </c>
      <c r="K14" s="1" t="s">
        <v>18</v>
      </c>
      <c r="L14" s="1">
        <v>95956</v>
      </c>
      <c r="M14" s="1">
        <v>72</v>
      </c>
      <c r="N14" s="1">
        <v>14780</v>
      </c>
      <c r="O14" s="1">
        <f t="shared" si="7"/>
        <v>96028</v>
      </c>
      <c r="P14" s="1">
        <f t="shared" si="7"/>
        <v>14852</v>
      </c>
    </row>
    <row r="15" spans="1:17" x14ac:dyDescent="0.5">
      <c r="A15" t="s">
        <v>9</v>
      </c>
      <c r="B15" s="7">
        <f>B13*B14</f>
        <v>3.5258854166666667</v>
      </c>
      <c r="C15">
        <f t="shared" ref="C15" si="8">C13*C14</f>
        <v>1.0875520833333334</v>
      </c>
      <c r="D15">
        <f t="shared" ref="D15" si="9">D13*D14</f>
        <v>0.29093750000000002</v>
      </c>
      <c r="E15">
        <f t="shared" ref="E15" si="10">E13*E14</f>
        <v>0.43312499999999998</v>
      </c>
      <c r="F15">
        <f t="shared" ref="F15" si="11">F13*F14</f>
        <v>0.17874999999999999</v>
      </c>
      <c r="G15">
        <f t="shared" ref="G15" si="12">G13*G14</f>
        <v>0.23374999999999999</v>
      </c>
      <c r="K15" s="5" t="s">
        <v>17</v>
      </c>
      <c r="L15" s="5">
        <v>88116</v>
      </c>
      <c r="M15" s="5">
        <v>72</v>
      </c>
      <c r="N15" s="5">
        <v>14972</v>
      </c>
      <c r="O15" s="5">
        <f t="shared" si="7"/>
        <v>88188</v>
      </c>
      <c r="P15" s="5">
        <f t="shared" si="7"/>
        <v>15044</v>
      </c>
    </row>
    <row r="16" spans="1:17" x14ac:dyDescent="0.5">
      <c r="K16" s="1" t="s">
        <v>16</v>
      </c>
      <c r="L16" s="1">
        <v>79724</v>
      </c>
      <c r="M16" s="1">
        <v>84</v>
      </c>
      <c r="N16" s="1">
        <v>16484</v>
      </c>
      <c r="O16" s="1">
        <f t="shared" si="7"/>
        <v>79808</v>
      </c>
      <c r="P16" s="1">
        <f t="shared" si="7"/>
        <v>16568</v>
      </c>
    </row>
    <row r="17" spans="1:17" x14ac:dyDescent="0.5">
      <c r="A17" t="s">
        <v>13</v>
      </c>
    </row>
    <row r="18" spans="1:17" x14ac:dyDescent="0.5"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</row>
    <row r="19" spans="1:17" x14ac:dyDescent="0.5">
      <c r="A19" t="s">
        <v>12</v>
      </c>
      <c r="B19">
        <v>740</v>
      </c>
      <c r="C19">
        <v>207</v>
      </c>
      <c r="D19">
        <v>72</v>
      </c>
      <c r="E19">
        <v>171</v>
      </c>
      <c r="F19">
        <v>45</v>
      </c>
      <c r="G19">
        <v>59</v>
      </c>
      <c r="H19">
        <f>SUM(B19:G19)</f>
        <v>1294</v>
      </c>
      <c r="K19" t="s">
        <v>36</v>
      </c>
      <c r="O19" t="s">
        <v>45</v>
      </c>
    </row>
    <row r="20" spans="1:17" x14ac:dyDescent="0.5">
      <c r="A20" t="s">
        <v>11</v>
      </c>
      <c r="B20">
        <v>1920</v>
      </c>
      <c r="C20">
        <v>1920</v>
      </c>
      <c r="D20">
        <v>1920</v>
      </c>
      <c r="E20">
        <v>1920</v>
      </c>
      <c r="F20">
        <v>1920</v>
      </c>
      <c r="G20">
        <v>1920</v>
      </c>
      <c r="H20">
        <f>AVERAGE(B20:G20)</f>
        <v>1920</v>
      </c>
      <c r="I20">
        <f>H20*25*1000</f>
        <v>48000000</v>
      </c>
      <c r="K20" s="1" t="s">
        <v>37</v>
      </c>
      <c r="L20" s="1" t="s">
        <v>38</v>
      </c>
      <c r="M20" s="1" t="s">
        <v>39</v>
      </c>
      <c r="O20" s="1"/>
      <c r="P20" s="1" t="s">
        <v>47</v>
      </c>
      <c r="Q20" s="1" t="s">
        <v>48</v>
      </c>
    </row>
    <row r="21" spans="1:17" x14ac:dyDescent="0.5">
      <c r="A21" t="s">
        <v>0</v>
      </c>
      <c r="B21">
        <f>B19/B20</f>
        <v>0.38541666666666669</v>
      </c>
      <c r="C21">
        <f t="shared" ref="C21" si="13">C19/C20</f>
        <v>0.10781250000000001</v>
      </c>
      <c r="D21">
        <f t="shared" ref="D21" si="14">D19/D20</f>
        <v>3.7499999999999999E-2</v>
      </c>
      <c r="E21">
        <f t="shared" ref="E21" si="15">E19/E20</f>
        <v>8.9062500000000003E-2</v>
      </c>
      <c r="F21">
        <f t="shared" ref="F21" si="16">F19/F20</f>
        <v>2.34375E-2</v>
      </c>
      <c r="G21">
        <f t="shared" ref="G21" si="17">G19/G20</f>
        <v>3.0729166666666665E-2</v>
      </c>
      <c r="K21" s="1" t="str">
        <f>G26</f>
        <v>Accel (Tilt)</v>
      </c>
      <c r="L21" s="1">
        <f>G31</f>
        <v>0.25085982282438773</v>
      </c>
      <c r="M21" s="1">
        <f>L21/25</f>
        <v>1.0034392912975509E-2</v>
      </c>
      <c r="O21" s="1" t="s">
        <v>16</v>
      </c>
      <c r="P21" s="4">
        <f>B7</f>
        <v>0.40029203170629957</v>
      </c>
      <c r="Q21" s="4">
        <f>'KDS - ALL'!B7</f>
        <v>0.51073749999999996</v>
      </c>
    </row>
    <row r="22" spans="1:17" x14ac:dyDescent="0.5">
      <c r="A22" t="s">
        <v>10</v>
      </c>
      <c r="B22">
        <v>9.6</v>
      </c>
      <c r="C22">
        <v>9.6999999999999993</v>
      </c>
      <c r="D22">
        <v>9.5</v>
      </c>
      <c r="E22">
        <v>9.6</v>
      </c>
      <c r="F22">
        <v>9.5</v>
      </c>
      <c r="G22">
        <v>9.6</v>
      </c>
      <c r="K22" s="1" t="str">
        <f>F26</f>
        <v>2D Mag</v>
      </c>
      <c r="L22" s="1">
        <f>F31</f>
        <v>0.19463262115685254</v>
      </c>
      <c r="M22" s="1">
        <f t="shared" ref="M22:M26" si="18">L22/25</f>
        <v>7.7853048462741018E-3</v>
      </c>
      <c r="O22" s="1" t="s">
        <v>32</v>
      </c>
      <c r="P22" s="4" t="s">
        <v>49</v>
      </c>
      <c r="Q22" s="4">
        <f>'KDS - ALL'!B15</f>
        <v>0.41493125000000003</v>
      </c>
    </row>
    <row r="23" spans="1:17" x14ac:dyDescent="0.5">
      <c r="A23" t="s">
        <v>9</v>
      </c>
      <c r="B23">
        <f>B21*B22</f>
        <v>3.7</v>
      </c>
      <c r="C23">
        <f t="shared" ref="C23" si="19">C21*C22</f>
        <v>1.0457812499999999</v>
      </c>
      <c r="D23">
        <f t="shared" ref="D23" si="20">D21*D22</f>
        <v>0.35625000000000001</v>
      </c>
      <c r="E23">
        <f t="shared" ref="E23" si="21">E21*E22</f>
        <v>0.85499999999999998</v>
      </c>
      <c r="F23">
        <f t="shared" ref="F23" si="22">F21*F22</f>
        <v>0.22265625</v>
      </c>
      <c r="G23">
        <f t="shared" ref="G23" si="23">G21*G22</f>
        <v>0.29499999999999998</v>
      </c>
      <c r="K23" s="1" t="str">
        <f>E26</f>
        <v>Gyro Only</v>
      </c>
      <c r="L23" s="1">
        <f>E31</f>
        <v>0.73921875000000004</v>
      </c>
      <c r="M23" s="1">
        <f t="shared" si="18"/>
        <v>2.9568750000000001E-2</v>
      </c>
      <c r="O23" s="5" t="s">
        <v>17</v>
      </c>
      <c r="P23" s="6">
        <f>B15</f>
        <v>3.5258854166666667</v>
      </c>
      <c r="Q23" s="6">
        <f>'KDS - ALL'!B23</f>
        <v>4.1083333333333334</v>
      </c>
    </row>
    <row r="24" spans="1:17" x14ac:dyDescent="0.5">
      <c r="K24" s="1" t="str">
        <f>D26</f>
        <v>Accel/Mag</v>
      </c>
      <c r="L24" s="1">
        <f>D31</f>
        <v>0.30708702449192293</v>
      </c>
      <c r="M24" s="1">
        <f t="shared" si="18"/>
        <v>1.2283480979676917E-2</v>
      </c>
      <c r="O24" s="1" t="s">
        <v>18</v>
      </c>
      <c r="P24" s="4">
        <f>B23</f>
        <v>3.7</v>
      </c>
      <c r="Q24" s="4">
        <f>'KDS - ALL'!B31</f>
        <v>4.15625</v>
      </c>
    </row>
    <row r="25" spans="1:17" x14ac:dyDescent="0.5">
      <c r="A25" t="s">
        <v>14</v>
      </c>
      <c r="K25" s="1" t="str">
        <f>C26</f>
        <v>Accel/Gyro</v>
      </c>
      <c r="L25" s="1">
        <f>C31</f>
        <v>0.91922876498176131</v>
      </c>
      <c r="M25" s="1">
        <f t="shared" si="18"/>
        <v>3.6769150599270453E-2</v>
      </c>
      <c r="O25" s="1" t="s">
        <v>19</v>
      </c>
      <c r="P25" s="4">
        <f>B31</f>
        <v>3.2006253256904644</v>
      </c>
      <c r="Q25" s="4">
        <f>'KDS - ALL'!B39</f>
        <v>3.7625000000000002</v>
      </c>
    </row>
    <row r="26" spans="1:17" x14ac:dyDescent="0.5"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K26" s="1" t="str">
        <f>B26</f>
        <v>9-axis</v>
      </c>
      <c r="L26" s="1">
        <f>B31</f>
        <v>3.2006253256904644</v>
      </c>
      <c r="M26" s="1">
        <f t="shared" si="18"/>
        <v>0.12802501302761857</v>
      </c>
      <c r="O26" s="1" t="s">
        <v>46</v>
      </c>
      <c r="P26" s="4">
        <f>B39</f>
        <v>2.4666666666666668</v>
      </c>
      <c r="Q26" s="4">
        <f>'KDS - ALL'!B47</f>
        <v>2.9312499999999999</v>
      </c>
    </row>
    <row r="27" spans="1:17" x14ac:dyDescent="0.5">
      <c r="A27" t="s">
        <v>12</v>
      </c>
      <c r="B27">
        <v>740</v>
      </c>
      <c r="C27">
        <v>210</v>
      </c>
      <c r="D27">
        <v>71</v>
      </c>
      <c r="E27">
        <v>171</v>
      </c>
      <c r="F27">
        <v>45</v>
      </c>
      <c r="G27">
        <v>58</v>
      </c>
      <c r="H27">
        <f>SUM(B27:G27)</f>
        <v>1295</v>
      </c>
      <c r="K27" s="1" t="s">
        <v>40</v>
      </c>
      <c r="L27" s="1">
        <f>SUM(L21:L26)</f>
        <v>5.6116523091453896</v>
      </c>
      <c r="M27" s="1">
        <f>SUM(M21:M26)</f>
        <v>0.22446609236581555</v>
      </c>
    </row>
    <row r="28" spans="1:17" x14ac:dyDescent="0.5">
      <c r="A28" t="s">
        <v>11</v>
      </c>
      <c r="B28">
        <v>1919</v>
      </c>
      <c r="C28">
        <v>1919</v>
      </c>
      <c r="D28">
        <v>1919</v>
      </c>
      <c r="E28">
        <v>1920</v>
      </c>
      <c r="F28">
        <v>1919</v>
      </c>
      <c r="G28">
        <v>1919</v>
      </c>
      <c r="H28">
        <f>AVERAGE(B28:G28)</f>
        <v>1919.1666666666667</v>
      </c>
      <c r="I28">
        <f>H28*25*1000</f>
        <v>47979166.666666672</v>
      </c>
      <c r="K28" s="1" t="s">
        <v>41</v>
      </c>
      <c r="L28" s="1">
        <f>8.4-L27</f>
        <v>2.7883476908546108</v>
      </c>
      <c r="M28" s="1">
        <f>SUM(M22:M27)</f>
        <v>0.43889779181865562</v>
      </c>
    </row>
    <row r="29" spans="1:17" x14ac:dyDescent="0.5">
      <c r="A29" t="s">
        <v>0</v>
      </c>
      <c r="B29">
        <f>B27/B28</f>
        <v>0.38561750911933301</v>
      </c>
      <c r="C29">
        <f t="shared" ref="C29" si="24">C27/C28</f>
        <v>0.10943199583116206</v>
      </c>
      <c r="D29">
        <f t="shared" ref="D29" si="25">D27/D28</f>
        <v>3.6998436685773843E-2</v>
      </c>
      <c r="E29">
        <f t="shared" ref="E29" si="26">E27/E28</f>
        <v>8.9062500000000003E-2</v>
      </c>
      <c r="F29">
        <f t="shared" ref="F29" si="27">F27/F28</f>
        <v>2.3449713392391869E-2</v>
      </c>
      <c r="G29">
        <f t="shared" ref="G29" si="28">G27/G28</f>
        <v>3.0224075039082855E-2</v>
      </c>
    </row>
    <row r="30" spans="1:17" x14ac:dyDescent="0.5">
      <c r="A30" t="s">
        <v>10</v>
      </c>
      <c r="B30">
        <v>8.3000000000000007</v>
      </c>
      <c r="C30">
        <v>8.4</v>
      </c>
      <c r="D30">
        <v>8.3000000000000007</v>
      </c>
      <c r="E30">
        <v>8.3000000000000007</v>
      </c>
      <c r="F30">
        <v>8.3000000000000007</v>
      </c>
      <c r="G30">
        <v>8.3000000000000007</v>
      </c>
    </row>
    <row r="31" spans="1:17" x14ac:dyDescent="0.5">
      <c r="A31" t="s">
        <v>9</v>
      </c>
      <c r="B31">
        <f>B29*B30</f>
        <v>3.2006253256904644</v>
      </c>
      <c r="C31">
        <f t="shared" ref="C31" si="29">C29*C30</f>
        <v>0.91922876498176131</v>
      </c>
      <c r="D31">
        <f t="shared" ref="D31" si="30">D29*D30</f>
        <v>0.30708702449192293</v>
      </c>
      <c r="E31">
        <f t="shared" ref="E31" si="31">E29*E30</f>
        <v>0.73921875000000004</v>
      </c>
      <c r="F31">
        <f t="shared" ref="F31" si="32">F29*F30</f>
        <v>0.19463262115685254</v>
      </c>
      <c r="G31">
        <f t="shared" ref="G31" si="33">G29*G30</f>
        <v>0.25085982282438773</v>
      </c>
    </row>
    <row r="33" spans="1:9" x14ac:dyDescent="0.5">
      <c r="A33" t="s">
        <v>15</v>
      </c>
    </row>
    <row r="34" spans="1:9" x14ac:dyDescent="0.5"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1:9" x14ac:dyDescent="0.5">
      <c r="A35" t="s">
        <v>12</v>
      </c>
      <c r="B35">
        <v>740</v>
      </c>
      <c r="C35">
        <v>208</v>
      </c>
      <c r="D35">
        <v>72</v>
      </c>
      <c r="E35">
        <v>172</v>
      </c>
      <c r="F35">
        <v>46</v>
      </c>
      <c r="G35">
        <v>58</v>
      </c>
      <c r="H35">
        <f>SUM(B35:G35)</f>
        <v>1296</v>
      </c>
    </row>
    <row r="36" spans="1:9" x14ac:dyDescent="0.5">
      <c r="A36" t="s">
        <v>11</v>
      </c>
      <c r="B36">
        <v>1920</v>
      </c>
      <c r="C36">
        <v>1920</v>
      </c>
      <c r="D36">
        <v>1920</v>
      </c>
      <c r="E36">
        <v>1920</v>
      </c>
      <c r="F36">
        <v>1920</v>
      </c>
      <c r="G36">
        <v>1920</v>
      </c>
      <c r="H36">
        <f>AVERAGE(B36:G36)</f>
        <v>1920</v>
      </c>
      <c r="I36">
        <f>H36*25*1000</f>
        <v>48000000</v>
      </c>
    </row>
    <row r="37" spans="1:9" x14ac:dyDescent="0.5">
      <c r="A37" t="s">
        <v>0</v>
      </c>
      <c r="B37">
        <f>B35/B36</f>
        <v>0.38541666666666669</v>
      </c>
      <c r="C37">
        <f t="shared" ref="C37" si="34">C35/C36</f>
        <v>0.10833333333333334</v>
      </c>
      <c r="D37">
        <f t="shared" ref="D37" si="35">D35/D36</f>
        <v>3.7499999999999999E-2</v>
      </c>
      <c r="E37">
        <f t="shared" ref="E37" si="36">E35/E36</f>
        <v>8.9583333333333334E-2</v>
      </c>
      <c r="F37">
        <f t="shared" ref="F37" si="37">F35/F36</f>
        <v>2.3958333333333335E-2</v>
      </c>
      <c r="G37">
        <f t="shared" ref="G37" si="38">G35/G36</f>
        <v>3.0208333333333334E-2</v>
      </c>
    </row>
    <row r="38" spans="1:9" x14ac:dyDescent="0.5">
      <c r="A38" t="s">
        <v>10</v>
      </c>
      <c r="B38">
        <v>6.4</v>
      </c>
      <c r="C38">
        <v>6.4</v>
      </c>
      <c r="D38">
        <v>6.4</v>
      </c>
      <c r="E38">
        <v>6.4</v>
      </c>
      <c r="F38">
        <v>6.4</v>
      </c>
      <c r="G38">
        <v>6.4</v>
      </c>
    </row>
    <row r="39" spans="1:9" x14ac:dyDescent="0.5">
      <c r="A39" t="s">
        <v>9</v>
      </c>
      <c r="B39">
        <f>B37*B38</f>
        <v>2.4666666666666668</v>
      </c>
      <c r="C39">
        <f t="shared" ref="C39" si="39">C37*C38</f>
        <v>0.69333333333333336</v>
      </c>
      <c r="D39">
        <f t="shared" ref="D39" si="40">D37*D38</f>
        <v>0.24</v>
      </c>
      <c r="E39">
        <f t="shared" ref="E39" si="41">E37*E38</f>
        <v>0.57333333333333336</v>
      </c>
      <c r="F39">
        <f t="shared" ref="F39" si="42">F37*F38</f>
        <v>0.15333333333333335</v>
      </c>
      <c r="G39">
        <f t="shared" ref="G39" si="43">G37*G38</f>
        <v>0.19333333333333336</v>
      </c>
      <c r="H39">
        <f>SUM(B39:G39)</f>
        <v>4.32</v>
      </c>
    </row>
    <row r="41" spans="1:9" x14ac:dyDescent="0.5">
      <c r="A41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7"/>
  <sheetViews>
    <sheetView topLeftCell="A22" workbookViewId="0" xr3:uid="{958C4451-9541-5A59-BF78-D2F731DF1C81}">
      <selection activeCell="H52" sqref="H52"/>
    </sheetView>
  </sheetViews>
  <sheetFormatPr defaultRowHeight="21.75" x14ac:dyDescent="0.5"/>
  <cols>
    <col min="1" max="1" width="15.51171875" customWidth="1"/>
    <col min="3" max="3" width="13.26171875" customWidth="1"/>
    <col min="9" max="9" width="11.72265625" customWidth="1"/>
  </cols>
  <sheetData>
    <row r="1" spans="1:16" x14ac:dyDescent="0.5">
      <c r="A1" t="s">
        <v>25</v>
      </c>
    </row>
    <row r="2" spans="1:16" x14ac:dyDescent="0.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43</v>
      </c>
    </row>
    <row r="3" spans="1:16" x14ac:dyDescent="0.5">
      <c r="A3" t="s">
        <v>12</v>
      </c>
      <c r="B3">
        <v>54.6</v>
      </c>
      <c r="C3">
        <v>11.4</v>
      </c>
      <c r="D3">
        <v>3.9</v>
      </c>
      <c r="E3">
        <v>4.9000000000000004</v>
      </c>
      <c r="F3">
        <v>3.1</v>
      </c>
      <c r="G3">
        <v>3.3</v>
      </c>
      <c r="H3">
        <f>SUM(B3:G3)</f>
        <v>81.2</v>
      </c>
      <c r="J3" s="1"/>
      <c r="K3" s="1" t="str">
        <f>G2</f>
        <v>Accel (Tilt)</v>
      </c>
      <c r="L3" s="1" t="str">
        <f>F2</f>
        <v>2D Mag</v>
      </c>
      <c r="M3" s="1" t="str">
        <f>E2</f>
        <v>Gyro Only</v>
      </c>
      <c r="N3" s="1" t="str">
        <f>D2</f>
        <v>Accel/Mag</v>
      </c>
      <c r="O3" s="1" t="str">
        <f>C2</f>
        <v>Accel/Gyro</v>
      </c>
      <c r="P3" s="1" t="str">
        <f>B2</f>
        <v>9-axis</v>
      </c>
    </row>
    <row r="4" spans="1:16" x14ac:dyDescent="0.5">
      <c r="A4" t="s">
        <v>11</v>
      </c>
      <c r="B4">
        <f t="shared" ref="B4:G4" si="0">$H4/25</f>
        <v>4800</v>
      </c>
      <c r="C4">
        <f t="shared" si="0"/>
        <v>4800</v>
      </c>
      <c r="D4">
        <f t="shared" si="0"/>
        <v>4800</v>
      </c>
      <c r="E4">
        <f t="shared" si="0"/>
        <v>4800</v>
      </c>
      <c r="F4">
        <f t="shared" si="0"/>
        <v>4800</v>
      </c>
      <c r="G4">
        <f t="shared" si="0"/>
        <v>4800</v>
      </c>
      <c r="H4">
        <v>120000</v>
      </c>
      <c r="J4" s="1" t="s">
        <v>20</v>
      </c>
      <c r="K4" s="1">
        <f>G43</f>
        <v>59</v>
      </c>
      <c r="L4" s="1">
        <f>F43</f>
        <v>47</v>
      </c>
      <c r="M4" s="1">
        <f>E43</f>
        <v>174</v>
      </c>
      <c r="N4" s="1">
        <f>D43</f>
        <v>74</v>
      </c>
      <c r="O4" s="1">
        <f>C43</f>
        <v>211</v>
      </c>
      <c r="P4" s="1">
        <f>B43</f>
        <v>840</v>
      </c>
    </row>
    <row r="5" spans="1:16" x14ac:dyDescent="0.5">
      <c r="A5" t="s">
        <v>0</v>
      </c>
      <c r="B5">
        <f>B3/B4</f>
        <v>1.1375E-2</v>
      </c>
      <c r="C5">
        <f t="shared" ref="C5:G5" si="1">C3/C4</f>
        <v>2.3749999999999999E-3</v>
      </c>
      <c r="D5">
        <f t="shared" si="1"/>
        <v>8.1249999999999996E-4</v>
      </c>
      <c r="E5">
        <f t="shared" si="1"/>
        <v>1.0208333333333334E-3</v>
      </c>
      <c r="F5">
        <f t="shared" si="1"/>
        <v>6.4583333333333333E-4</v>
      </c>
      <c r="G5">
        <f t="shared" si="1"/>
        <v>6.8749999999999996E-4</v>
      </c>
      <c r="J5" s="1" t="s">
        <v>19</v>
      </c>
      <c r="K5" s="1">
        <f>G35</f>
        <v>61</v>
      </c>
      <c r="L5" s="1">
        <f>F35</f>
        <v>48</v>
      </c>
      <c r="M5" s="1">
        <f>E35</f>
        <v>173</v>
      </c>
      <c r="N5" s="1">
        <f>D35</f>
        <v>75</v>
      </c>
      <c r="O5" s="1">
        <f>C35</f>
        <v>211</v>
      </c>
      <c r="P5" s="1">
        <f>B35</f>
        <v>860</v>
      </c>
    </row>
    <row r="6" spans="1:16" x14ac:dyDescent="0.5">
      <c r="A6" t="s">
        <v>10</v>
      </c>
      <c r="B6">
        <v>44.9</v>
      </c>
      <c r="C6">
        <v>45</v>
      </c>
      <c r="D6">
        <v>44.9</v>
      </c>
      <c r="E6">
        <v>44.9</v>
      </c>
      <c r="F6">
        <v>44.9</v>
      </c>
      <c r="G6">
        <v>44.9</v>
      </c>
      <c r="J6" s="1" t="s">
        <v>18</v>
      </c>
      <c r="K6" s="1">
        <f>G27</f>
        <v>60</v>
      </c>
      <c r="L6" s="1">
        <f>F27</f>
        <v>49</v>
      </c>
      <c r="M6" s="1">
        <f>E27</f>
        <v>174</v>
      </c>
      <c r="N6" s="1">
        <f>D27</f>
        <v>74</v>
      </c>
      <c r="O6" s="1">
        <f>C27</f>
        <v>210</v>
      </c>
      <c r="P6" s="1">
        <f>B27</f>
        <v>840</v>
      </c>
    </row>
    <row r="7" spans="1:16" x14ac:dyDescent="0.5">
      <c r="A7" t="s">
        <v>9</v>
      </c>
      <c r="B7">
        <f>B5*B6</f>
        <v>0.51073749999999996</v>
      </c>
      <c r="C7">
        <f t="shared" ref="C7:G7" si="2">C5*C6</f>
        <v>0.106875</v>
      </c>
      <c r="D7">
        <f t="shared" si="2"/>
        <v>3.648125E-2</v>
      </c>
      <c r="E7">
        <f t="shared" si="2"/>
        <v>4.583541666666667E-2</v>
      </c>
      <c r="F7">
        <f t="shared" si="2"/>
        <v>2.8997916666666665E-2</v>
      </c>
      <c r="G7">
        <f t="shared" si="2"/>
        <v>3.0868749999999997E-2</v>
      </c>
      <c r="J7" s="1" t="s">
        <v>17</v>
      </c>
      <c r="K7" s="1">
        <f>G19</f>
        <v>35</v>
      </c>
      <c r="L7" s="1">
        <f>F19</f>
        <v>27</v>
      </c>
      <c r="M7" s="1">
        <f>E19</f>
        <v>66</v>
      </c>
      <c r="N7" s="1">
        <f>D19</f>
        <v>44</v>
      </c>
      <c r="O7" s="1">
        <f>C19</f>
        <v>160</v>
      </c>
      <c r="P7" s="1">
        <f>B19</f>
        <v>580</v>
      </c>
    </row>
    <row r="8" spans="1:16" x14ac:dyDescent="0.5">
      <c r="J8" s="1" t="s">
        <v>16</v>
      </c>
      <c r="K8" s="1">
        <f>G3</f>
        <v>3.3</v>
      </c>
      <c r="L8" s="1">
        <f>F3</f>
        <v>3.1</v>
      </c>
      <c r="M8" s="1">
        <f>E3</f>
        <v>4.9000000000000004</v>
      </c>
      <c r="N8" s="1">
        <f>D3</f>
        <v>3.9</v>
      </c>
      <c r="O8" s="1">
        <f>C3</f>
        <v>11.4</v>
      </c>
      <c r="P8" s="1">
        <f>B3</f>
        <v>54.6</v>
      </c>
    </row>
    <row r="9" spans="1:16" x14ac:dyDescent="0.5">
      <c r="A9" t="s">
        <v>31</v>
      </c>
      <c r="J9" s="1" t="s">
        <v>32</v>
      </c>
      <c r="K9" s="1">
        <f>G11</f>
        <v>3.9</v>
      </c>
      <c r="L9" s="1">
        <f>F11</f>
        <v>3.7</v>
      </c>
      <c r="M9" s="1">
        <f>E11</f>
        <v>5.8</v>
      </c>
      <c r="N9" s="1">
        <f>D11</f>
        <v>4.4000000000000004</v>
      </c>
      <c r="O9" s="1">
        <f>C11</f>
        <v>13.4</v>
      </c>
      <c r="P9" s="1">
        <f>B11</f>
        <v>59.1</v>
      </c>
    </row>
    <row r="10" spans="1:16" x14ac:dyDescent="0.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</row>
    <row r="11" spans="1:16" x14ac:dyDescent="0.5">
      <c r="A11" t="s">
        <v>12</v>
      </c>
      <c r="B11">
        <v>59.1</v>
      </c>
      <c r="C11">
        <v>13.4</v>
      </c>
      <c r="D11">
        <v>4.4000000000000004</v>
      </c>
      <c r="E11">
        <v>5.8</v>
      </c>
      <c r="F11">
        <v>3.7</v>
      </c>
      <c r="G11">
        <v>3.9</v>
      </c>
      <c r="J11" t="s">
        <v>34</v>
      </c>
    </row>
    <row r="12" spans="1:16" x14ac:dyDescent="0.5">
      <c r="A12" t="s">
        <v>11</v>
      </c>
      <c r="B12">
        <v>4800</v>
      </c>
      <c r="C12">
        <v>4800</v>
      </c>
      <c r="D12">
        <v>4800</v>
      </c>
      <c r="E12">
        <v>4800</v>
      </c>
      <c r="F12">
        <v>4800</v>
      </c>
      <c r="G12">
        <v>4800</v>
      </c>
      <c r="J12" s="1"/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</row>
    <row r="13" spans="1:16" x14ac:dyDescent="0.5">
      <c r="A13" t="s">
        <v>0</v>
      </c>
      <c r="B13">
        <f>B11/B12</f>
        <v>1.2312500000000001E-2</v>
      </c>
      <c r="C13">
        <f t="shared" ref="C13" si="3">C11/C12</f>
        <v>2.7916666666666667E-3</v>
      </c>
      <c r="D13">
        <f t="shared" ref="D13" si="4">D11/D12</f>
        <v>9.1666666666666676E-4</v>
      </c>
      <c r="E13">
        <f t="shared" ref="E13" si="5">E11/E12</f>
        <v>1.2083333333333334E-3</v>
      </c>
      <c r="F13">
        <f t="shared" ref="F13" si="6">F11/F12</f>
        <v>7.7083333333333333E-4</v>
      </c>
      <c r="G13">
        <f t="shared" ref="G13" si="7">G11/G12</f>
        <v>8.1249999999999996E-4</v>
      </c>
      <c r="J13" s="1" t="s">
        <v>20</v>
      </c>
      <c r="K13" s="1">
        <v>77812</v>
      </c>
      <c r="L13" s="1">
        <v>172</v>
      </c>
      <c r="M13" s="1">
        <v>14816</v>
      </c>
      <c r="N13" s="1">
        <f>K13+L13</f>
        <v>77984</v>
      </c>
      <c r="O13" s="1">
        <f>L13+M13</f>
        <v>14988</v>
      </c>
    </row>
    <row r="14" spans="1:16" x14ac:dyDescent="0.5">
      <c r="A14" t="s">
        <v>10</v>
      </c>
      <c r="B14">
        <v>33.700000000000003</v>
      </c>
      <c r="C14">
        <v>33.700000000000003</v>
      </c>
      <c r="D14">
        <v>33.6</v>
      </c>
      <c r="E14">
        <v>33.6</v>
      </c>
      <c r="F14">
        <v>33.6</v>
      </c>
      <c r="G14">
        <v>33.6</v>
      </c>
      <c r="J14" s="1" t="s">
        <v>19</v>
      </c>
      <c r="K14" s="1">
        <v>77828</v>
      </c>
      <c r="L14" s="1">
        <v>172</v>
      </c>
      <c r="M14" s="1">
        <v>14816</v>
      </c>
      <c r="N14" s="1">
        <f t="shared" ref="N14:N18" si="8">K14+L14</f>
        <v>78000</v>
      </c>
      <c r="O14" s="1">
        <f t="shared" ref="O14:O18" si="9">L14+M14</f>
        <v>14988</v>
      </c>
    </row>
    <row r="15" spans="1:16" x14ac:dyDescent="0.5">
      <c r="A15" t="s">
        <v>9</v>
      </c>
      <c r="B15">
        <f>B13*B14</f>
        <v>0.41493125000000003</v>
      </c>
      <c r="C15">
        <f t="shared" ref="C15" si="10">C13*C14</f>
        <v>9.4079166666666672E-2</v>
      </c>
      <c r="D15">
        <f t="shared" ref="D15" si="11">D13*D14</f>
        <v>3.0800000000000004E-2</v>
      </c>
      <c r="E15">
        <f t="shared" ref="E15" si="12">E13*E14</f>
        <v>4.0600000000000004E-2</v>
      </c>
      <c r="F15">
        <f t="shared" ref="F15" si="13">F13*F14</f>
        <v>2.5899999999999999E-2</v>
      </c>
      <c r="G15">
        <f t="shared" ref="G15" si="14">G13*G14</f>
        <v>2.7300000000000001E-2</v>
      </c>
      <c r="H15">
        <f>SUM(B15:G15)</f>
        <v>0.63361041666666673</v>
      </c>
      <c r="J15" s="1" t="s">
        <v>18</v>
      </c>
      <c r="K15" s="1">
        <v>77772</v>
      </c>
      <c r="L15" s="1">
        <v>172</v>
      </c>
      <c r="M15" s="1">
        <v>14816</v>
      </c>
      <c r="N15" s="1">
        <f t="shared" si="8"/>
        <v>77944</v>
      </c>
      <c r="O15" s="1">
        <f t="shared" si="9"/>
        <v>14988</v>
      </c>
    </row>
    <row r="16" spans="1:16" x14ac:dyDescent="0.5">
      <c r="J16" s="1" t="s">
        <v>17</v>
      </c>
      <c r="K16" s="1">
        <v>67356</v>
      </c>
      <c r="L16" s="1">
        <v>172</v>
      </c>
      <c r="M16" s="1">
        <v>15008</v>
      </c>
      <c r="N16" s="1">
        <f t="shared" si="8"/>
        <v>67528</v>
      </c>
      <c r="O16" s="1">
        <f t="shared" si="9"/>
        <v>15180</v>
      </c>
    </row>
    <row r="17" spans="1:15" x14ac:dyDescent="0.5">
      <c r="A17" t="s">
        <v>21</v>
      </c>
      <c r="J17" s="1" t="s">
        <v>16</v>
      </c>
      <c r="K17" s="1">
        <v>65024</v>
      </c>
      <c r="L17" s="1">
        <v>184</v>
      </c>
      <c r="M17" s="1">
        <v>16652</v>
      </c>
      <c r="N17" s="1">
        <f t="shared" si="8"/>
        <v>65208</v>
      </c>
      <c r="O17" s="1">
        <f t="shared" si="9"/>
        <v>16836</v>
      </c>
    </row>
    <row r="18" spans="1:15" x14ac:dyDescent="0.5"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J18" s="3" t="s">
        <v>32</v>
      </c>
      <c r="K18" s="1">
        <v>62268</v>
      </c>
      <c r="L18" s="1">
        <v>184</v>
      </c>
      <c r="M18" s="1">
        <v>16492</v>
      </c>
      <c r="N18" s="1">
        <f t="shared" si="8"/>
        <v>62452</v>
      </c>
      <c r="O18" s="1">
        <f t="shared" si="9"/>
        <v>16676</v>
      </c>
    </row>
    <row r="19" spans="1:15" x14ac:dyDescent="0.5">
      <c r="A19" t="s">
        <v>12</v>
      </c>
      <c r="B19">
        <v>580</v>
      </c>
      <c r="C19">
        <v>160</v>
      </c>
      <c r="D19">
        <v>44</v>
      </c>
      <c r="E19">
        <v>66</v>
      </c>
      <c r="F19">
        <v>27</v>
      </c>
      <c r="G19">
        <v>35</v>
      </c>
      <c r="H19">
        <f>SUM(B19:G19)</f>
        <v>912</v>
      </c>
    </row>
    <row r="20" spans="1:15" x14ac:dyDescent="0.5">
      <c r="A20" t="s">
        <v>11</v>
      </c>
      <c r="B20">
        <f t="shared" ref="B20:G20" si="15">$H20/25</f>
        <v>1920</v>
      </c>
      <c r="C20">
        <f t="shared" si="15"/>
        <v>1920</v>
      </c>
      <c r="D20">
        <f t="shared" si="15"/>
        <v>1920</v>
      </c>
      <c r="E20">
        <f t="shared" si="15"/>
        <v>1920</v>
      </c>
      <c r="F20">
        <f t="shared" si="15"/>
        <v>1920</v>
      </c>
      <c r="G20">
        <f t="shared" si="15"/>
        <v>1920</v>
      </c>
      <c r="H20">
        <v>48000</v>
      </c>
    </row>
    <row r="21" spans="1:15" x14ac:dyDescent="0.5">
      <c r="A21" t="s">
        <v>0</v>
      </c>
      <c r="B21">
        <f>B19/B20</f>
        <v>0.30208333333333331</v>
      </c>
      <c r="C21">
        <f t="shared" ref="C21:G21" si="16">C19/C20</f>
        <v>8.3333333333333329E-2</v>
      </c>
      <c r="D21">
        <f t="shared" si="16"/>
        <v>2.2916666666666665E-2</v>
      </c>
      <c r="E21">
        <f t="shared" si="16"/>
        <v>3.4375000000000003E-2</v>
      </c>
      <c r="F21">
        <f t="shared" si="16"/>
        <v>1.40625E-2</v>
      </c>
      <c r="G21">
        <f t="shared" si="16"/>
        <v>1.8229166666666668E-2</v>
      </c>
    </row>
    <row r="22" spans="1:15" x14ac:dyDescent="0.5">
      <c r="A22" t="s">
        <v>10</v>
      </c>
      <c r="B22">
        <v>13.6</v>
      </c>
      <c r="C22">
        <v>13.4</v>
      </c>
      <c r="D22">
        <v>13.4</v>
      </c>
      <c r="E22">
        <v>13.3</v>
      </c>
      <c r="F22">
        <v>13.3</v>
      </c>
      <c r="G22">
        <v>13.3</v>
      </c>
    </row>
    <row r="23" spans="1:15" x14ac:dyDescent="0.5">
      <c r="A23" t="s">
        <v>9</v>
      </c>
      <c r="B23">
        <f>B21*B22</f>
        <v>4.1083333333333334</v>
      </c>
      <c r="C23">
        <f t="shared" ref="C23:G23" si="17">C21*C22</f>
        <v>1.1166666666666667</v>
      </c>
      <c r="D23">
        <f t="shared" si="17"/>
        <v>0.30708333333333332</v>
      </c>
      <c r="E23">
        <f t="shared" si="17"/>
        <v>0.45718750000000008</v>
      </c>
      <c r="F23">
        <f t="shared" si="17"/>
        <v>0.18703125000000001</v>
      </c>
      <c r="G23">
        <f t="shared" si="17"/>
        <v>0.24244791666666671</v>
      </c>
    </row>
    <row r="25" spans="1:15" x14ac:dyDescent="0.5">
      <c r="A25" t="s">
        <v>22</v>
      </c>
    </row>
    <row r="26" spans="1:15" x14ac:dyDescent="0.5"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</row>
    <row r="27" spans="1:15" x14ac:dyDescent="0.5">
      <c r="A27" t="s">
        <v>12</v>
      </c>
      <c r="B27">
        <v>840</v>
      </c>
      <c r="C27">
        <v>210</v>
      </c>
      <c r="D27">
        <v>74</v>
      </c>
      <c r="E27">
        <v>174</v>
      </c>
      <c r="F27">
        <v>49</v>
      </c>
      <c r="G27">
        <v>60</v>
      </c>
      <c r="H27">
        <f>SUM(B27:G27)</f>
        <v>1407</v>
      </c>
    </row>
    <row r="28" spans="1:15" x14ac:dyDescent="0.5">
      <c r="A28" t="s">
        <v>11</v>
      </c>
      <c r="B28">
        <f t="shared" ref="B28:G28" si="18">$H28/25</f>
        <v>1920</v>
      </c>
      <c r="C28">
        <f t="shared" si="18"/>
        <v>1920</v>
      </c>
      <c r="D28">
        <f t="shared" si="18"/>
        <v>1920</v>
      </c>
      <c r="E28">
        <f t="shared" si="18"/>
        <v>1920</v>
      </c>
      <c r="F28">
        <f t="shared" si="18"/>
        <v>1920</v>
      </c>
      <c r="G28">
        <f t="shared" si="18"/>
        <v>1920</v>
      </c>
      <c r="H28">
        <v>48000</v>
      </c>
    </row>
    <row r="29" spans="1:15" x14ac:dyDescent="0.5">
      <c r="A29" t="s">
        <v>0</v>
      </c>
      <c r="B29">
        <f>B27/B28</f>
        <v>0.4375</v>
      </c>
      <c r="C29">
        <f t="shared" ref="C29:G29" si="19">C27/C28</f>
        <v>0.109375</v>
      </c>
      <c r="D29">
        <f t="shared" si="19"/>
        <v>3.8541666666666669E-2</v>
      </c>
      <c r="E29">
        <f t="shared" si="19"/>
        <v>9.0624999999999997E-2</v>
      </c>
      <c r="F29">
        <f t="shared" si="19"/>
        <v>2.5520833333333333E-2</v>
      </c>
      <c r="G29">
        <f t="shared" si="19"/>
        <v>3.125E-2</v>
      </c>
    </row>
    <row r="30" spans="1:15" x14ac:dyDescent="0.5">
      <c r="A30" t="s">
        <v>10</v>
      </c>
      <c r="B30">
        <v>9.5</v>
      </c>
      <c r="C30">
        <v>9.4</v>
      </c>
      <c r="D30">
        <v>9.3000000000000007</v>
      </c>
      <c r="E30">
        <v>9.3000000000000007</v>
      </c>
      <c r="F30">
        <v>9.3000000000000007</v>
      </c>
      <c r="G30">
        <v>9.3000000000000007</v>
      </c>
    </row>
    <row r="31" spans="1:15" x14ac:dyDescent="0.5">
      <c r="A31" t="s">
        <v>9</v>
      </c>
      <c r="B31">
        <f>B29*B30</f>
        <v>4.15625</v>
      </c>
      <c r="C31">
        <f t="shared" ref="C31:G31" si="20">C29*C30</f>
        <v>1.028125</v>
      </c>
      <c r="D31">
        <f t="shared" si="20"/>
        <v>0.35843750000000002</v>
      </c>
      <c r="E31">
        <f t="shared" si="20"/>
        <v>0.84281250000000008</v>
      </c>
      <c r="F31">
        <f t="shared" si="20"/>
        <v>0.23734375000000002</v>
      </c>
      <c r="G31">
        <f t="shared" si="20"/>
        <v>0.29062500000000002</v>
      </c>
    </row>
    <row r="33" spans="1:8" x14ac:dyDescent="0.5">
      <c r="A33" t="s">
        <v>23</v>
      </c>
    </row>
    <row r="34" spans="1:8" x14ac:dyDescent="0.5"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1:8" x14ac:dyDescent="0.5">
      <c r="A35" t="s">
        <v>12</v>
      </c>
      <c r="B35">
        <v>860</v>
      </c>
      <c r="C35">
        <v>211</v>
      </c>
      <c r="D35">
        <v>75</v>
      </c>
      <c r="E35">
        <v>173</v>
      </c>
      <c r="F35">
        <v>48</v>
      </c>
      <c r="G35">
        <v>61</v>
      </c>
      <c r="H35">
        <f>SUM(B35:G35)</f>
        <v>1428</v>
      </c>
    </row>
    <row r="36" spans="1:8" x14ac:dyDescent="0.5">
      <c r="A36" t="s">
        <v>11</v>
      </c>
      <c r="B36">
        <f t="shared" ref="B36:G36" si="21">$H36/25</f>
        <v>1920</v>
      </c>
      <c r="C36">
        <f t="shared" si="21"/>
        <v>1920</v>
      </c>
      <c r="D36">
        <f t="shared" si="21"/>
        <v>1920</v>
      </c>
      <c r="E36">
        <f t="shared" si="21"/>
        <v>1920</v>
      </c>
      <c r="F36">
        <f t="shared" si="21"/>
        <v>1920</v>
      </c>
      <c r="G36">
        <f t="shared" si="21"/>
        <v>1920</v>
      </c>
      <c r="H36">
        <v>48000</v>
      </c>
    </row>
    <row r="37" spans="1:8" x14ac:dyDescent="0.5">
      <c r="A37" t="s">
        <v>0</v>
      </c>
      <c r="B37">
        <f>B35/B36</f>
        <v>0.44791666666666669</v>
      </c>
      <c r="C37">
        <f t="shared" ref="C37:G37" si="22">C35/C36</f>
        <v>0.10989583333333333</v>
      </c>
      <c r="D37">
        <f t="shared" si="22"/>
        <v>3.90625E-2</v>
      </c>
      <c r="E37">
        <f t="shared" si="22"/>
        <v>9.0104166666666666E-2</v>
      </c>
      <c r="F37">
        <f t="shared" si="22"/>
        <v>2.5000000000000001E-2</v>
      </c>
      <c r="G37">
        <f t="shared" si="22"/>
        <v>3.1770833333333331E-2</v>
      </c>
    </row>
    <row r="38" spans="1:8" x14ac:dyDescent="0.5">
      <c r="A38" t="s">
        <v>10</v>
      </c>
      <c r="B38">
        <v>8.4</v>
      </c>
      <c r="C38">
        <v>8.3000000000000007</v>
      </c>
      <c r="D38">
        <v>8.3000000000000007</v>
      </c>
      <c r="E38">
        <v>8.3000000000000007</v>
      </c>
      <c r="F38">
        <v>8.3000000000000007</v>
      </c>
      <c r="G38">
        <v>8.3000000000000007</v>
      </c>
    </row>
    <row r="39" spans="1:8" x14ac:dyDescent="0.5">
      <c r="A39" t="s">
        <v>9</v>
      </c>
      <c r="B39">
        <f>B37*B38</f>
        <v>3.7625000000000002</v>
      </c>
      <c r="C39">
        <f t="shared" ref="C39:G39" si="23">C37*C38</f>
        <v>0.91213541666666675</v>
      </c>
      <c r="D39">
        <f t="shared" si="23"/>
        <v>0.32421875</v>
      </c>
      <c r="E39">
        <f t="shared" si="23"/>
        <v>0.74786458333333339</v>
      </c>
      <c r="F39">
        <f t="shared" si="23"/>
        <v>0.20750000000000002</v>
      </c>
      <c r="G39">
        <f t="shared" si="23"/>
        <v>0.2636979166666667</v>
      </c>
    </row>
    <row r="41" spans="1:8" x14ac:dyDescent="0.5">
      <c r="A41" t="s">
        <v>24</v>
      </c>
    </row>
    <row r="42" spans="1:8" x14ac:dyDescent="0.5"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</row>
    <row r="43" spans="1:8" x14ac:dyDescent="0.5">
      <c r="A43" t="s">
        <v>12</v>
      </c>
      <c r="B43">
        <v>840</v>
      </c>
      <c r="C43">
        <v>211</v>
      </c>
      <c r="D43">
        <v>74</v>
      </c>
      <c r="E43">
        <v>174</v>
      </c>
      <c r="F43">
        <v>47</v>
      </c>
      <c r="G43">
        <v>59</v>
      </c>
      <c r="H43">
        <f>SUM(B43:G43)</f>
        <v>1405</v>
      </c>
    </row>
    <row r="44" spans="1:8" x14ac:dyDescent="0.5">
      <c r="A44" t="s">
        <v>11</v>
      </c>
      <c r="B44">
        <f t="shared" ref="B44:G44" si="24">$H44/25</f>
        <v>1920</v>
      </c>
      <c r="C44">
        <f t="shared" si="24"/>
        <v>1920</v>
      </c>
      <c r="D44">
        <f t="shared" si="24"/>
        <v>1920</v>
      </c>
      <c r="E44">
        <f t="shared" si="24"/>
        <v>1920</v>
      </c>
      <c r="F44">
        <f t="shared" si="24"/>
        <v>1920</v>
      </c>
      <c r="G44">
        <f t="shared" si="24"/>
        <v>1920</v>
      </c>
      <c r="H44">
        <v>48000</v>
      </c>
    </row>
    <row r="45" spans="1:8" x14ac:dyDescent="0.5">
      <c r="A45" t="s">
        <v>0</v>
      </c>
      <c r="B45">
        <f>B43/B44</f>
        <v>0.4375</v>
      </c>
      <c r="C45">
        <f t="shared" ref="C45:G45" si="25">C43/C44</f>
        <v>0.10989583333333333</v>
      </c>
      <c r="D45">
        <f t="shared" si="25"/>
        <v>3.8541666666666669E-2</v>
      </c>
      <c r="E45">
        <f t="shared" si="25"/>
        <v>9.0624999999999997E-2</v>
      </c>
      <c r="F45">
        <f t="shared" si="25"/>
        <v>2.4479166666666666E-2</v>
      </c>
      <c r="G45">
        <f t="shared" si="25"/>
        <v>3.0729166666666665E-2</v>
      </c>
    </row>
    <row r="46" spans="1:8" x14ac:dyDescent="0.5">
      <c r="A46" t="s">
        <v>10</v>
      </c>
      <c r="B46">
        <v>6.7</v>
      </c>
      <c r="C46">
        <v>6.6</v>
      </c>
      <c r="D46">
        <v>6.6</v>
      </c>
      <c r="E46">
        <v>6.6</v>
      </c>
      <c r="F46">
        <v>6.6</v>
      </c>
      <c r="G46">
        <v>6.6</v>
      </c>
    </row>
    <row r="47" spans="1:8" x14ac:dyDescent="0.5">
      <c r="A47" t="s">
        <v>9</v>
      </c>
      <c r="B47">
        <f>B45*B46</f>
        <v>2.9312499999999999</v>
      </c>
      <c r="C47">
        <f t="shared" ref="C47:G47" si="26">C45*C46</f>
        <v>0.72531249999999992</v>
      </c>
      <c r="D47">
        <f t="shared" si="26"/>
        <v>0.25437500000000002</v>
      </c>
      <c r="E47">
        <f t="shared" si="26"/>
        <v>0.59812499999999991</v>
      </c>
      <c r="F47">
        <f t="shared" si="26"/>
        <v>0.1615625</v>
      </c>
      <c r="G47">
        <f t="shared" si="26"/>
        <v>0.20281249999999998</v>
      </c>
      <c r="H47">
        <f>SUM(B47:G47)</f>
        <v>4.8734374999999996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1"/>
  <sheetViews>
    <sheetView workbookViewId="0" xr3:uid="{842E5F09-E766-5B8D-85AF-A39847EA96FD}">
      <selection activeCell="G16" sqref="G16"/>
    </sheetView>
  </sheetViews>
  <sheetFormatPr defaultRowHeight="21.75" x14ac:dyDescent="0.5"/>
  <sheetData>
    <row r="4" spans="2:7" x14ac:dyDescent="0.5">
      <c r="B4" s="2" t="s">
        <v>42</v>
      </c>
    </row>
    <row r="5" spans="2:7" x14ac:dyDescent="0.5">
      <c r="B5" s="1"/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spans="2:7" x14ac:dyDescent="0.5">
      <c r="B6" s="1" t="s">
        <v>6</v>
      </c>
      <c r="C6" s="1">
        <v>34280</v>
      </c>
      <c r="D6" s="1">
        <v>64</v>
      </c>
      <c r="E6" s="1">
        <v>12580</v>
      </c>
      <c r="F6" s="1">
        <f>C6+D6</f>
        <v>34344</v>
      </c>
      <c r="G6" s="1">
        <f>D6+E6</f>
        <v>12644</v>
      </c>
    </row>
    <row r="7" spans="2:7" x14ac:dyDescent="0.5">
      <c r="B7" s="1" t="s">
        <v>5</v>
      </c>
      <c r="C7" s="1">
        <v>53904</v>
      </c>
      <c r="D7" s="1">
        <v>64</v>
      </c>
      <c r="E7" s="1">
        <v>12580</v>
      </c>
      <c r="F7" s="1">
        <f t="shared" ref="F7:G11" si="0">C7+D7</f>
        <v>53968</v>
      </c>
      <c r="G7" s="1">
        <f t="shared" si="0"/>
        <v>12644</v>
      </c>
    </row>
    <row r="8" spans="2:7" x14ac:dyDescent="0.5">
      <c r="B8" s="1" t="s">
        <v>4</v>
      </c>
      <c r="C8" s="1">
        <v>33944</v>
      </c>
      <c r="D8" s="1">
        <v>64</v>
      </c>
      <c r="E8" s="1">
        <v>12528</v>
      </c>
      <c r="F8" s="1">
        <f t="shared" si="0"/>
        <v>34008</v>
      </c>
      <c r="G8" s="1">
        <f t="shared" si="0"/>
        <v>12592</v>
      </c>
    </row>
    <row r="9" spans="2:7" x14ac:dyDescent="0.5">
      <c r="B9" s="1" t="s">
        <v>3</v>
      </c>
      <c r="C9" s="1">
        <v>55172</v>
      </c>
      <c r="D9" s="1">
        <v>64</v>
      </c>
      <c r="E9" s="1">
        <v>12588</v>
      </c>
      <c r="F9" s="1">
        <f t="shared" si="0"/>
        <v>55236</v>
      </c>
      <c r="G9" s="1">
        <f t="shared" si="0"/>
        <v>12652</v>
      </c>
    </row>
    <row r="10" spans="2:7" x14ac:dyDescent="0.5">
      <c r="B10" s="1" t="s">
        <v>2</v>
      </c>
      <c r="C10" s="1">
        <v>54716</v>
      </c>
      <c r="D10" s="1">
        <v>72</v>
      </c>
      <c r="E10" s="1">
        <v>12892</v>
      </c>
      <c r="F10" s="1">
        <f t="shared" si="0"/>
        <v>54788</v>
      </c>
      <c r="G10" s="1">
        <f t="shared" si="0"/>
        <v>12964</v>
      </c>
    </row>
    <row r="11" spans="2:7" x14ac:dyDescent="0.5">
      <c r="B11" s="1" t="s">
        <v>1</v>
      </c>
      <c r="C11" s="1">
        <v>75552</v>
      </c>
      <c r="D11" s="1">
        <v>64</v>
      </c>
      <c r="E11" s="1">
        <v>13664</v>
      </c>
      <c r="F11" s="1">
        <f t="shared" si="0"/>
        <v>75616</v>
      </c>
      <c r="G11" s="1">
        <f t="shared" si="0"/>
        <v>13728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कार्यपत्रक</vt:lpstr>
      </vt:variant>
      <vt:variant>
        <vt:i4>3</vt:i4>
      </vt:variant>
    </vt:vector>
  </HeadingPairs>
  <TitlesOfParts>
    <vt:vector size="3" baseType="lpstr">
      <vt:lpstr>CW - ALL</vt:lpstr>
      <vt:lpstr>KDS - ALL</vt:lpstr>
      <vt:lpstr>KL25Z Single Build 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Mike-RMPE01</dc:creator>
  <cp:lastModifiedBy>Vikas Yadav</cp:lastModifiedBy>
  <dcterms:created xsi:type="dcterms:W3CDTF">2015-09-08T16:02:22Z</dcterms:created>
  <dcterms:modified xsi:type="dcterms:W3CDTF">2015-10-17T03:32:16Z</dcterms:modified>
</cp:coreProperties>
</file>